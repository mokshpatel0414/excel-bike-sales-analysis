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oksh\Documents\"/>
    </mc:Choice>
  </mc:AlternateContent>
  <xr:revisionPtr revIDLastSave="0" documentId="8_{92DAC079-BAAC-44AE-8DB5-B4D863CD2E92}" xr6:coauthVersionLast="47" xr6:coauthVersionMax="47" xr10:uidLastSave="{00000000-0000-0000-0000-000000000000}"/>
  <bookViews>
    <workbookView xWindow="-28920" yWindow="-120" windowWidth="29040" windowHeight="157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<sst xmlns="http://schemas.openxmlformats.org/spreadsheetml/2006/main" count="16265" uniqueCount="51">
  <si>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</si>
  <si>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</si>
  <si>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</si>
  <si>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</si>
  <si>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</si>
  <si>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</si>
  <si>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</si>
  <si>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</si>
  <si>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</si>
  <si>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</si>
  <si>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</si>
  <si>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</si>
  <si>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</si>
  <si>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</si>
  <si>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</si>
  <si>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</si>
  <si>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</si>
  <si>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</si>
  <si>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</si>
  <si>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</si>
  <si>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</si>
  <si>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</si>
  <si>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</si>
  <si>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</si>
  <si>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</si>
  <si>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</si>
  <si>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</si>
  <si>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</si>
  <si>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</si>
  <si>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</si>
  <si>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</si>
  <si>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</si>
  <si>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</si>
  <si>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</si>
  <si>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</si>
  <si>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</si>
  <si>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</si>
  <si>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</si>
  <si>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</si>
  <si>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</si>
  <si>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</si>
  <si>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</si>
  <si>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</si>
  <si>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</si>
  <si>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</si>
  <si>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</si>
  <si>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Middle Age</t>
  </si>
  <si>
    <t>Senior</t>
  </si>
  <si>
    <t>Adolescent</t>
  </si>
  <si>
    <t>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</si>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</sst>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Income Per Purchase</a:t>
            </a:r>
          </a:p>
        </c:rich>
      </c:tx>
      <c:layout>
        <c:manualLayout>
          <c:xMode val="edge"/>
          <c:yMode val="edge"/>
          <c:x val="0.23001346941165823"/>
          <c:y val="8.1706274911444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13487512843858"/>
          <c:y val="0.20706995753230742"/>
          <c:w val="0.57790782237413019"/>
          <c:h val="0.54979312493068833"/>
        </c:manualLayout>
      </c:layout>
      <c:barChart>
        <c:barDir val="col"/>
        <c:grouping val="clustered"/>
        <c:varyColors val="0"/>
        <c:ser>
          <c:idx val="0"/>
          <c:order val="0"/>
          <c:tx>
            <c:strRef>
              <c:f>'Pivot Table'!$B$1:$B$2</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E4DA-4935-9920-4AEF8DF544DD}"/>
            </c:ext>
          </c:extLst>
        </c:ser>
        <c:ser>
          <c:idx val="1"/>
          <c:order val="1"/>
          <c:tx>
            <c:strRef>
              <c:f>'Pivot Table'!$C$1:$C$2</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B4BA-4946-928A-F8D0644AC9C2}"/>
            </c:ext>
          </c:extLst>
        </c:ser>
        <c:dLbls>
          <c:showLegendKey val="0"/>
          <c:showVal val="0"/>
          <c:showCatName val="0"/>
          <c:showSerName val="0"/>
          <c:showPercent val="0"/>
          <c:showBubbleSize val="0"/>
        </c:dLbls>
        <c:gapWidth val="100"/>
        <c:overlap val="-24"/>
        <c:axId val="1542971280"/>
        <c:axId val="1542959280"/>
      </c:barChart>
      <c:catAx>
        <c:axId val="15429712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59280"/>
        <c:crosses val="autoZero"/>
        <c:auto val="1"/>
        <c:lblAlgn val="ctr"/>
        <c:lblOffset val="100"/>
        <c:noMultiLvlLbl val="0"/>
      </c:catAx>
      <c:valAx>
        <c:axId val="154295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7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91F-4DAC-80E3-641BC7B37622}"/>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91F-4DAC-80E3-641BC7B37622}"/>
            </c:ext>
          </c:extLst>
        </c:ser>
        <c:dLbls>
          <c:showLegendKey val="0"/>
          <c:showVal val="0"/>
          <c:showCatName val="0"/>
          <c:showSerName val="0"/>
          <c:showPercent val="0"/>
          <c:showBubbleSize val="0"/>
        </c:dLbls>
        <c:smooth val="0"/>
        <c:axId val="83113664"/>
        <c:axId val="83121344"/>
      </c:lineChart>
      <c:catAx>
        <c:axId val="83113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21344"/>
        <c:crosses val="autoZero"/>
        <c:auto val="1"/>
        <c:lblAlgn val="ctr"/>
        <c:lblOffset val="100"/>
        <c:noMultiLvlLbl val="0"/>
      </c:catAx>
      <c:valAx>
        <c:axId val="8312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Senior</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FAC-4AD8-8335-12198A4B294D}"/>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Senior</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FAC-4AD8-8335-12198A4B294D}"/>
            </c:ext>
          </c:extLst>
        </c:ser>
        <c:dLbls>
          <c:showLegendKey val="0"/>
          <c:showVal val="0"/>
          <c:showCatName val="0"/>
          <c:showSerName val="0"/>
          <c:showPercent val="0"/>
          <c:showBubbleSize val="0"/>
        </c:dLbls>
        <c:marker val="1"/>
        <c:smooth val="0"/>
        <c:axId val="880481408"/>
        <c:axId val="880479968"/>
      </c:lineChart>
      <c:catAx>
        <c:axId val="88048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79968"/>
        <c:crosses val="autoZero"/>
        <c:auto val="1"/>
        <c:lblAlgn val="ctr"/>
        <c:lblOffset val="100"/>
        <c:noMultiLvlLbl val="0"/>
      </c:catAx>
      <c:valAx>
        <c:axId val="88047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a:t>Average</a:t>
            </a:r>
            <a:r>
              <a:rPr lang="en-US" sz="1400" b="0" baseline="0"/>
              <a:t> Income Per Purchase</a:t>
            </a:r>
          </a:p>
        </c:rich>
      </c:tx>
      <c:layout>
        <c:manualLayout>
          <c:xMode val="edge"/>
          <c:yMode val="edge"/>
          <c:x val="0.16362111948236208"/>
          <c:y val="5.9827839316695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13487512843858"/>
          <c:y val="0.20706995753230742"/>
          <c:w val="0.49598982507373268"/>
          <c:h val="0.57804172783486807"/>
        </c:manualLayout>
      </c:layout>
      <c:barChart>
        <c:barDir val="col"/>
        <c:grouping val="clustered"/>
        <c:varyColors val="0"/>
        <c:ser>
          <c:idx val="0"/>
          <c:order val="0"/>
          <c:tx>
            <c:strRef>
              <c:f>'Pivot Table'!$B$1:$B$2</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BB7-493B-8656-6844BA3A70BC}"/>
            </c:ext>
          </c:extLst>
        </c:ser>
        <c:ser>
          <c:idx val="1"/>
          <c:order val="1"/>
          <c:tx>
            <c:strRef>
              <c:f>'Pivot Table'!$C$1:$C$2</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0-9DF5-421F-9E8D-C46CBB35CB59}"/>
            </c:ext>
          </c:extLst>
        </c:ser>
        <c:dLbls>
          <c:showLegendKey val="0"/>
          <c:showVal val="0"/>
          <c:showCatName val="0"/>
          <c:showSerName val="0"/>
          <c:showPercent val="0"/>
          <c:showBubbleSize val="0"/>
        </c:dLbls>
        <c:gapWidth val="100"/>
        <c:overlap val="-24"/>
        <c:axId val="1542971280"/>
        <c:axId val="1542959280"/>
      </c:barChart>
      <c:catAx>
        <c:axId val="15429712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59280"/>
        <c:crosses val="autoZero"/>
        <c:auto val="1"/>
        <c:lblAlgn val="ctr"/>
        <c:lblOffset val="100"/>
        <c:noMultiLvlLbl val="0"/>
      </c:catAx>
      <c:valAx>
        <c:axId val="1542959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97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9330220025688278"/>
          <c:y val="3.06513286667154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037471379907297E-2"/>
          <c:y val="0.19458485148586543"/>
          <c:w val="0.79161501088959629"/>
          <c:h val="0.4826421767109435"/>
        </c:manualLayout>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7A3-4205-B96B-3845BBEBE16D}"/>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7A3-4205-B96B-3845BBEBE16D}"/>
            </c:ext>
          </c:extLst>
        </c:ser>
        <c:dLbls>
          <c:showLegendKey val="0"/>
          <c:showVal val="0"/>
          <c:showCatName val="0"/>
          <c:showSerName val="0"/>
          <c:showPercent val="0"/>
          <c:showBubbleSize val="0"/>
        </c:dLbls>
        <c:marker val="1"/>
        <c:smooth val="0"/>
        <c:axId val="83113664"/>
        <c:axId val="83121344"/>
      </c:lineChart>
      <c:catAx>
        <c:axId val="83113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21344"/>
        <c:crosses val="autoZero"/>
        <c:auto val="1"/>
        <c:lblAlgn val="ctr"/>
        <c:lblOffset val="100"/>
        <c:noMultiLvlLbl val="0"/>
      </c:catAx>
      <c:valAx>
        <c:axId val="8312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a:p>
            <a:pPr>
              <a:defRPr/>
            </a:pPr>
            <a:endParaRPr lang="en-US"/>
          </a:p>
        </c:rich>
      </c:tx>
      <c:layout>
        <c:manualLayout>
          <c:xMode val="edge"/>
          <c:yMode val="edge"/>
          <c:x val="0.23874015748031496"/>
          <c:y val="4.5896939073671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3905112254671"/>
          <c:y val="0.19928934071462648"/>
          <c:w val="0.63419375727640348"/>
          <c:h val="0.55063505476275976"/>
        </c:manualLayout>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Senior</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DCC-44D7-8013-C3B74F0A7832}"/>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Senior</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DCC-44D7-8013-C3B74F0A7832}"/>
            </c:ext>
          </c:extLst>
        </c:ser>
        <c:dLbls>
          <c:showLegendKey val="0"/>
          <c:showVal val="0"/>
          <c:showCatName val="0"/>
          <c:showSerName val="0"/>
          <c:showPercent val="0"/>
          <c:showBubbleSize val="0"/>
        </c:dLbls>
        <c:marker val="1"/>
        <c:smooth val="0"/>
        <c:axId val="880481408"/>
        <c:axId val="880479968"/>
      </c:lineChart>
      <c:catAx>
        <c:axId val="88048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79968"/>
        <c:crosses val="autoZero"/>
        <c:auto val="1"/>
        <c:lblAlgn val="ctr"/>
        <c:lblOffset val="100"/>
        <c:noMultiLvlLbl val="0"/>
      </c:catAx>
      <c:valAx>
        <c:axId val="88047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8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38100</xdr:colOff>
      <xdr:row>0</xdr:row>
      <xdr:rowOff>123825</xdr:rowOff>
    </xdr:from>
    <xdr:to>
      <xdr:col>11</xdr:col>
      <xdr:colOff>38099</xdr:colOff>
      <xdr:row>12</xdr:row>
      <xdr:rowOff>180974</xdr:rowOff>
    </xdr:to>
    <xdr:graphicFrame macro="">
      <xdr:nvGraphicFramePr>
        <xdr:cNvPr id="3" name="Chart 2">
          <a:extLst>
            <a:ext uri="{FF2B5EF4-FFF2-40B4-BE49-F238E27FC236}">
              <a16:creationId xmlns:a16="http://schemas.microsoft.com/office/drawing/2014/main" id="{B6F7C76F-B64E-0450-62E3-67160C118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xdr:colOff>
      <xdr:row>15</xdr:row>
      <xdr:rowOff>109537</xdr:rowOff>
    </xdr:from>
    <xdr:to>
      <xdr:col>11</xdr:col>
      <xdr:colOff>38100</xdr:colOff>
      <xdr:row>28</xdr:row>
      <xdr:rowOff>171450</xdr:rowOff>
    </xdr:to>
    <xdr:graphicFrame macro="">
      <xdr:nvGraphicFramePr>
        <xdr:cNvPr id="4" name="Chart 3">
          <a:extLst>
            <a:ext uri="{FF2B5EF4-FFF2-40B4-BE49-F238E27FC236}">
              <a16:creationId xmlns:a16="http://schemas.microsoft.com/office/drawing/2014/main" id="{944381BE-6907-B36C-DCEB-757EBF2AE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742950</xdr:colOff>
      <xdr:row>31</xdr:row>
      <xdr:rowOff>71437</xdr:rowOff>
    </xdr:from>
    <xdr:to>
      <xdr:col>11</xdr:col>
      <xdr:colOff>295275</xdr:colOff>
      <xdr:row>45</xdr:row>
      <xdr:rowOff>147637</xdr:rowOff>
    </xdr:to>
    <xdr:graphicFrame macro="">
      <xdr:nvGraphicFramePr>
        <xdr:cNvPr id="110" name="Chart 1">
          <a:extLst>
            <a:ext uri="{FF2B5EF4-FFF2-40B4-BE49-F238E27FC236}">
              <a16:creationId xmlns:a16="http://schemas.microsoft.com/office/drawing/2014/main" id="{15BE4BBF-B814-5E20-1494-A9B628C97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219074</xdr:colOff>
      <xdr:row>6</xdr:row>
      <xdr:rowOff>85725</xdr:rowOff>
    </xdr:from>
    <xdr:to>
      <xdr:col>8</xdr:col>
      <xdr:colOff>581025</xdr:colOff>
      <xdr:row>18</xdr:row>
      <xdr:rowOff>47625</xdr:rowOff>
    </xdr:to>
    <xdr:graphicFrame macro="">
      <xdr:nvGraphicFramePr>
        <xdr:cNvPr id="87" name="Chart 1">
          <a:extLst>
            <a:ext uri="{FF2B5EF4-FFF2-40B4-BE49-F238E27FC236}">
              <a16:creationId xmlns:a16="http://schemas.microsoft.com/office/drawing/2014/main" id="{8815E8E6-AA60-4FC1-8B93-AD68C077D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209550</xdr:colOff>
      <xdr:row>18</xdr:row>
      <xdr:rowOff>133350</xdr:rowOff>
    </xdr:from>
    <xdr:to>
      <xdr:col>14</xdr:col>
      <xdr:colOff>552450</xdr:colOff>
      <xdr:row>31</xdr:row>
      <xdr:rowOff>142875</xdr:rowOff>
    </xdr:to>
    <xdr:graphicFrame macro="">
      <xdr:nvGraphicFramePr>
        <xdr:cNvPr id="91" name="Chart 2">
          <a:extLst>
            <a:ext uri="{FF2B5EF4-FFF2-40B4-BE49-F238E27FC236}">
              <a16:creationId xmlns:a16="http://schemas.microsoft.com/office/drawing/2014/main" id="{6893805B-A32A-4992-9AEC-C72075E85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6</xdr:row>
      <xdr:rowOff>85726</xdr:rowOff>
    </xdr:from>
    <xdr:to>
      <xdr:col>14</xdr:col>
      <xdr:colOff>561975</xdr:colOff>
      <xdr:row>18</xdr:row>
      <xdr:rowOff>57150</xdr:rowOff>
    </xdr:to>
    <xdr:graphicFrame macro="">
      <xdr:nvGraphicFramePr>
        <xdr:cNvPr id="92" name="Chart 5">
          <a:extLst>
            <a:ext uri="{FF2B5EF4-FFF2-40B4-BE49-F238E27FC236}">
              <a16:creationId xmlns:a16="http://schemas.microsoft.com/office/drawing/2014/main" id="{00F98E60-676B-4C2E-B730-FF9AEBACC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114300</xdr:colOff>
      <xdr:row>6</xdr:row>
      <xdr:rowOff>85725</xdr:rowOff>
    </xdr:from>
    <xdr:to>
      <xdr:col>3</xdr:col>
      <xdr:colOff>85725</xdr:colOff>
      <xdr:row>11</xdr:row>
      <xdr:rowOff>76200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884DA66E-FB32-C62F-2188-00806F6BE87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4300" y="1228725"/>
              <a:ext cx="1800225"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18</xdr:row>
      <xdr:rowOff>123826</xdr:rowOff>
    </xdr:from>
    <xdr:to>
      <xdr:col>3</xdr:col>
      <xdr:colOff>85725</xdr:colOff>
      <xdr:row>27</xdr:row>
      <xdr:rowOff>76200</xdr:rowOff>
    </xdr:to>
    <mc:AlternateContent xmlns:mc="http://schemas.openxmlformats.org/markup-compatibility/2006" xmlns:a14="http://schemas.microsoft.com/office/drawing/2010/main">
      <mc:Choice Requires="a14">
        <xdr:graphicFrame macro="">
          <xdr:nvGraphicFramePr>
            <xdr:cNvPr id="93" name="Education">
              <a:extLst>
                <a:ext uri="{FF2B5EF4-FFF2-40B4-BE49-F238E27FC236}">
                  <a16:creationId xmlns:a16="http://schemas.microsoft.com/office/drawing/2014/main" id="{F4D0E5AC-3249-4D1E-748C-B8FC32CC90E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5725" y="3552826"/>
              <a:ext cx="1828800" cy="1666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11</xdr:row>
      <xdr:rowOff>123825</xdr:rowOff>
    </xdr:from>
    <xdr:to>
      <xdr:col>3</xdr:col>
      <xdr:colOff>95250</xdr:colOff>
      <xdr:row>18</xdr:row>
      <xdr:rowOff>76200</xdr:rowOff>
    </xdr:to>
    <mc:AlternateContent xmlns:mc="http://schemas.openxmlformats.org/markup-compatibility/2006" xmlns:a14="http://schemas.microsoft.com/office/drawing/2010/main">
      <mc:Choice Requires="a14">
        <xdr:graphicFrame macro="">
          <xdr:nvGraphicFramePr>
            <xdr:cNvPr id="94" name="Region">
              <a:extLst>
                <a:ext uri="{FF2B5EF4-FFF2-40B4-BE49-F238E27FC236}">
                  <a16:creationId xmlns:a16="http://schemas.microsoft.com/office/drawing/2014/main" id="{6BE13124-765B-2FA9-D27E-219E1C6103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0" y="2219325"/>
              <a:ext cx="18288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ksh Patel" refreshedDate="46037.632584143517" createdVersion="8" refreshedVersion="8" minRefreshableVersion="3" recordCount="1000" xr:uid="{15E7C156-7344-4EFA-B5FF-7D9441B8FAA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Senior"/>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6775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F20074-8430-44FB-B6D9-833C3473EC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5">
    <chartFormat chart="1" format="2"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0"/>
          </reference>
        </references>
      </pivotArea>
    </chartFormat>
    <chartFormat chart="16" format="13" series="1">
      <pivotArea type="data" outline="0" fieldPosition="0">
        <references count="2">
          <reference field="4294967294" count="1" selected="0">
            <x v="0"/>
          </reference>
          <reference field="13" count="1" selected="0">
            <x v="1"/>
          </reference>
        </references>
      </pivotArea>
    </chartFormat>
    <chartFormat chart="16" format="14" series="1">
      <pivotArea type="data" outline="0" fieldPosition="0">
        <references count="2">
          <reference field="4294967294" count="1" selected="0">
            <x v="0"/>
          </reference>
          <reference field="13" count="1" selected="0">
            <x v="0"/>
          </reference>
        </references>
      </pivotArea>
    </chartFormat>
    <chartFormat chart="1"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770E6-00FA-456D-A259-BD8781CAA045}" name="PivotTable7"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20">
  <location ref="A35:D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13" format="2" series="1">
      <pivotArea type="data" outline="0" fieldPosition="0">
        <references count="2">
          <reference field="4294967294" count="1" selected="0">
            <x v="0"/>
          </reference>
          <reference field="13" count="1" selected="0">
            <x v="0"/>
          </reference>
        </references>
      </pivotArea>
    </chartFormat>
    <chartFormat chart="13" format="3"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 chart="18" format="6" series="1">
      <pivotArea type="data" outline="0" fieldPosition="0">
        <references count="2">
          <reference field="4294967294" count="1" selected="0">
            <x v="0"/>
          </reference>
          <reference field="13" count="1" selected="0">
            <x v="0"/>
          </reference>
        </references>
      </pivotArea>
    </chartFormat>
    <chartFormat chart="18" format="7" series="1">
      <pivotArea type="data" outline="0" fieldPosition="0">
        <references count="2">
          <reference field="4294967294" count="1" selected="0">
            <x v="0"/>
          </reference>
          <reference field="13" count="1" selected="0">
            <x v="1"/>
          </reference>
        </references>
      </pivotArea>
    </chartFormat>
    <chartFormat chart="17" format="4" series="1">
      <pivotArea type="data" outline="0" fieldPosition="0">
        <references count="2">
          <reference field="4294967294" count="1" selected="0">
            <x v="0"/>
          </reference>
          <reference field="13" count="1" selected="0">
            <x v="0"/>
          </reference>
        </references>
      </pivotArea>
    </chartFormat>
    <chartFormat chart="17" format="5" series="1">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1DCEA8-620E-40F6-923E-EC24271FA4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6D3DAA5-FFEB-4B84-8479-602861678D82}" sourceName="Marital Status">
  <pivotTables>
    <pivotTable tabId="3" name="PivotTable1"/>
    <pivotTable tabId="3" name="PivotTable3"/>
    <pivotTable tabId="3" name="PivotTable7"/>
  </pivotTables>
  <data>
    <tabular pivotCacheId="867755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0E3FAE3-12CA-469F-9F2F-005251A1399E}" sourceName="Education">
  <pivotTables>
    <pivotTable tabId="3" name="PivotTable1"/>
    <pivotTable tabId="3" name="PivotTable3"/>
    <pivotTable tabId="3" name="PivotTable7"/>
  </pivotTables>
  <data>
    <tabular pivotCacheId="8677552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BD02DB-B0EE-4E8C-AED3-698BD3123E9A}" sourceName="Region">
  <pivotTables>
    <pivotTable tabId="3" name="PivotTable1"/>
    <pivotTable tabId="3" name="PivotTable3"/>
    <pivotTable tabId="3" name="PivotTable7"/>
  </pivotTables>
  <data>
    <tabular pivotCacheId="867755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F29D8C6-7A36-42B8-B9D6-871001D44D54}" cache="Slicer_Marital_Status" caption="Marital Status" rowHeight="241300"/>
  <slicer name="Education" xr10:uid="{775BB699-67E8-4BE0-B7EB-44C30D135005}" cache="Slicer_Education" caption="Education" rowHeight="241300"/>
  <slicer name="Region" xr10:uid="{C11B1603-1715-467E-B475-B3F228931379}"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6" sqref="M6"/>
    </sheetView>
  </sheetViews>
  <sheetFormatPr defaultColWidth="11.85546875" defaultRowHeight="15" x14ac:dyDescent="0.25"/>
  <cols>
    <col min="2" max="2" width="19.42578125" customWidth="1"/>
    <col min="3" max="3" width="16.85546875" customWidth="1"/>
    <col min="4" max="4" width="19.28515625" customWidth="1"/>
    <col min="5" max="5" width="17.5703125" customWidth="1"/>
    <col min="6" max="6" width="17.7109375" customWidth="1"/>
    <col min="7" max="7" width="16.28515625" customWidth="1"/>
    <col min="8" max="8" width="15.85546875" customWidth="1"/>
    <col min="10" max="10" width="17.57031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FDB4C-42C1-4072-80B5-C5E0C2AD96FA}">
  <dimension ref="A1:N1001"/>
  <sheetViews>
    <sheetView workbookViewId="0">
      <selection activeCell="P5" sqref="P5"/>
    </sheetView>
  </sheetViews>
  <sheetFormatPr defaultColWidth="11.85546875" defaultRowHeight="15" x14ac:dyDescent="0.25"/>
  <cols>
    <col min="2" max="2" width="20.42578125" customWidth="1"/>
    <col min="3" max="3" width="16.85546875" customWidth="1"/>
    <col min="4" max="4" width="19.28515625" style="3" customWidth="1"/>
    <col min="5" max="5" width="17.5703125" customWidth="1"/>
    <col min="6" max="6" width="17.7109375" customWidth="1"/>
    <col min="7" max="7" width="16.28515625" customWidth="1"/>
    <col min="8" max="8" width="15.85546875" customWidth="1"/>
    <col min="10" max="10" width="20" customWidth="1"/>
    <col min="12" max="12" width="15.140625" customWidth="1"/>
    <col min="13" max="13" width="19.28515625" customWidth="1"/>
    <col min="14" max="14" width="17.1406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IF(L2&gt;=55,"Senior", IF(L2&gt;=31,"Middle Age", IF(L2&lt;31,"Adolescent", "Invaldid")))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IF(L3&gt;=55,"Senior", IF(L3&gt;=31,"Middle Age", IF(L3&lt;31,"Adolescent", "Invaldid")))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Senior</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Senior</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Senior</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Senior</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Senior</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Senior</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Senior</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Senior</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Senior</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Senior</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Senior</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Senior</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Senior</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Senior</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IF(L67&gt;=55,"Senior", IF(L67&gt;=31,"Middle Age", IF(L67&lt;31,"Adolescent", "Invaldid")))</f>
        <v>Senior</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Senior</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Senior</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Senior</v>
      </c>
      <c r="N96" t="s">
        <v>18</v>
      </c>
    </row>
    <row r="97" spans="1:14" x14ac:dyDescent="0.25">
      <c r="A97">
        <v>17197</v>
      </c>
      <c r="B97" t="s">
        <v>37</v>
      </c>
      <c r="C97" t="s">
        <v>38</v>
      </c>
      <c r="D97" s="3">
        <v>90000</v>
      </c>
      <c r="E97">
        <v>5</v>
      </c>
      <c r="F97" t="s">
        <v>19</v>
      </c>
      <c r="G97" t="s">
        <v>21</v>
      </c>
      <c r="H97" t="s">
        <v>15</v>
      </c>
      <c r="I97">
        <v>2</v>
      </c>
      <c r="J97" t="s">
        <v>49</v>
      </c>
      <c r="K97" t="s">
        <v>17</v>
      </c>
      <c r="L97">
        <v>62</v>
      </c>
      <c r="M97" t="str">
        <f t="shared" si="1"/>
        <v>Senior</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Senior</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Senior</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Senior</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IF(L131&gt;=55,"Senior", IF(L131&gt;=31,"Middle Age", IF(L131&lt;31,"Adolescent", "Invaldid")))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Senior</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Senior</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Senior</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Senior</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Senior</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Senior</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Senior</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Senior</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49</v>
      </c>
      <c r="K180" t="s">
        <v>17</v>
      </c>
      <c r="L180">
        <v>55</v>
      </c>
      <c r="M180" t="str">
        <f t="shared" si="2"/>
        <v>Senior</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Senior</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Senior</v>
      </c>
      <c r="N185" t="s">
        <v>15</v>
      </c>
    </row>
    <row r="186" spans="1:14" x14ac:dyDescent="0.25">
      <c r="A186">
        <v>28918</v>
      </c>
      <c r="B186" t="s">
        <v>36</v>
      </c>
      <c r="C186" t="s">
        <v>38</v>
      </c>
      <c r="D186" s="3">
        <v>130000</v>
      </c>
      <c r="E186">
        <v>4</v>
      </c>
      <c r="F186" t="s">
        <v>27</v>
      </c>
      <c r="G186" t="s">
        <v>28</v>
      </c>
      <c r="H186" t="s">
        <v>18</v>
      </c>
      <c r="I186">
        <v>4</v>
      </c>
      <c r="J186" t="s">
        <v>49</v>
      </c>
      <c r="K186" t="s">
        <v>17</v>
      </c>
      <c r="L186">
        <v>58</v>
      </c>
      <c r="M186" t="str">
        <f t="shared" si="2"/>
        <v>Senior</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Senior</v>
      </c>
      <c r="N188" t="s">
        <v>15</v>
      </c>
    </row>
    <row r="189" spans="1:14" x14ac:dyDescent="0.25">
      <c r="A189">
        <v>18151</v>
      </c>
      <c r="B189" t="s">
        <v>37</v>
      </c>
      <c r="C189" t="s">
        <v>39</v>
      </c>
      <c r="D189" s="3">
        <v>80000</v>
      </c>
      <c r="E189">
        <v>5</v>
      </c>
      <c r="F189" t="s">
        <v>19</v>
      </c>
      <c r="G189" t="s">
        <v>21</v>
      </c>
      <c r="H189" t="s">
        <v>18</v>
      </c>
      <c r="I189">
        <v>2</v>
      </c>
      <c r="J189" t="s">
        <v>49</v>
      </c>
      <c r="K189" t="s">
        <v>17</v>
      </c>
      <c r="L189">
        <v>59</v>
      </c>
      <c r="M189" t="str">
        <f t="shared" si="2"/>
        <v>Senior</v>
      </c>
      <c r="N189" t="s">
        <v>18</v>
      </c>
    </row>
    <row r="190" spans="1:14" x14ac:dyDescent="0.25">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Senior</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49</v>
      </c>
      <c r="K194" t="s">
        <v>17</v>
      </c>
      <c r="L194">
        <v>62</v>
      </c>
      <c r="M194" t="str">
        <f t="shared" si="2"/>
        <v>Senior</v>
      </c>
      <c r="N194" t="s">
        <v>18</v>
      </c>
    </row>
    <row r="195" spans="1:14" x14ac:dyDescent="0.25">
      <c r="A195">
        <v>26032</v>
      </c>
      <c r="B195" t="s">
        <v>36</v>
      </c>
      <c r="C195" t="s">
        <v>38</v>
      </c>
      <c r="D195" s="3">
        <v>70000</v>
      </c>
      <c r="E195">
        <v>5</v>
      </c>
      <c r="F195" t="s">
        <v>13</v>
      </c>
      <c r="G195" t="s">
        <v>21</v>
      </c>
      <c r="H195" t="s">
        <v>15</v>
      </c>
      <c r="I195">
        <v>4</v>
      </c>
      <c r="J195" t="s">
        <v>49</v>
      </c>
      <c r="K195" t="s">
        <v>24</v>
      </c>
      <c r="L195">
        <v>41</v>
      </c>
      <c r="M195" t="str">
        <f t="shared" ref="M195:M258" si="3">IF(L195&gt;=55,"Senior", IF(L195&gt;=31,"Middle Age", IF(L195&lt;31,"Adolescent", "Invaldid")))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Senior</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49</v>
      </c>
      <c r="K208" t="s">
        <v>17</v>
      </c>
      <c r="L208">
        <v>62</v>
      </c>
      <c r="M208" t="str">
        <f t="shared" si="3"/>
        <v>Senior</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Senior</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Senior</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49</v>
      </c>
      <c r="K231" t="s">
        <v>17</v>
      </c>
      <c r="L231">
        <v>57</v>
      </c>
      <c r="M231" t="str">
        <f t="shared" si="3"/>
        <v>Senior</v>
      </c>
      <c r="N231" t="s">
        <v>18</v>
      </c>
    </row>
    <row r="232" spans="1:14" x14ac:dyDescent="0.25">
      <c r="A232">
        <v>22830</v>
      </c>
      <c r="B232" t="s">
        <v>36</v>
      </c>
      <c r="C232" t="s">
        <v>39</v>
      </c>
      <c r="D232" s="3">
        <v>120000</v>
      </c>
      <c r="E232">
        <v>4</v>
      </c>
      <c r="F232" t="s">
        <v>19</v>
      </c>
      <c r="G232" t="s">
        <v>28</v>
      </c>
      <c r="H232" t="s">
        <v>15</v>
      </c>
      <c r="I232">
        <v>3</v>
      </c>
      <c r="J232" t="s">
        <v>49</v>
      </c>
      <c r="K232" t="s">
        <v>17</v>
      </c>
      <c r="L232">
        <v>56</v>
      </c>
      <c r="M232" t="str">
        <f t="shared" si="3"/>
        <v>Senior</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Senior</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Senior</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Senior</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Senior</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49</v>
      </c>
      <c r="K255" t="s">
        <v>17</v>
      </c>
      <c r="L255">
        <v>59</v>
      </c>
      <c r="M255" t="str">
        <f t="shared" si="3"/>
        <v>Senior</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Senior</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IF(L259&gt;=55,"Senior", IF(L259&gt;=31,"Middle Age", IF(L259&lt;31,"Adolescent", "Invaldid")))</f>
        <v>Middle Age</v>
      </c>
      <c r="N259" t="s">
        <v>15</v>
      </c>
    </row>
    <row r="260" spans="1:14" x14ac:dyDescent="0.25">
      <c r="A260">
        <v>14193</v>
      </c>
      <c r="B260" t="s">
        <v>37</v>
      </c>
      <c r="C260" t="s">
        <v>38</v>
      </c>
      <c r="D260" s="3">
        <v>100000</v>
      </c>
      <c r="E260">
        <v>3</v>
      </c>
      <c r="F260" t="s">
        <v>19</v>
      </c>
      <c r="G260" t="s">
        <v>28</v>
      </c>
      <c r="H260" t="s">
        <v>15</v>
      </c>
      <c r="I260">
        <v>4</v>
      </c>
      <c r="J260" t="s">
        <v>49</v>
      </c>
      <c r="K260" t="s">
        <v>17</v>
      </c>
      <c r="L260">
        <v>56</v>
      </c>
      <c r="M260" t="str">
        <f t="shared" si="4"/>
        <v>Senior</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Senior</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Senior</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Senior</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Senior</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Senior</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Senior</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Senior</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IF(L323&gt;=55,"Senior", IF(L323&gt;=31,"Middle Age", IF(L323&lt;31,"Adolescent", "Invaldid")))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49</v>
      </c>
      <c r="K331" t="s">
        <v>17</v>
      </c>
      <c r="L331">
        <v>59</v>
      </c>
      <c r="M331" t="str">
        <f t="shared" si="5"/>
        <v>Senior</v>
      </c>
      <c r="N331" t="s">
        <v>18</v>
      </c>
    </row>
    <row r="332" spans="1:14" x14ac:dyDescent="0.25">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Senior</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Senior</v>
      </c>
      <c r="N360" t="s">
        <v>15</v>
      </c>
    </row>
    <row r="361" spans="1:14" x14ac:dyDescent="0.25">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Senior</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Senior</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Senior</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Senior</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Senior</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Senior</v>
      </c>
      <c r="N383" t="s">
        <v>18</v>
      </c>
    </row>
    <row r="384" spans="1:14" x14ac:dyDescent="0.25">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IF(L387&gt;=55,"Senior", IF(L387&gt;=31,"Middle Age", IF(L387&lt;31,"Adolescent", "Invaldid")))</f>
        <v>Middle Age</v>
      </c>
      <c r="N387" t="s">
        <v>18</v>
      </c>
    </row>
    <row r="388" spans="1:14" x14ac:dyDescent="0.25">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Senior</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Senior</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Senior</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Senior</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Senior</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49</v>
      </c>
      <c r="K422" t="s">
        <v>17</v>
      </c>
      <c r="L422">
        <v>59</v>
      </c>
      <c r="M422" t="str">
        <f t="shared" si="6"/>
        <v>Senior</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Senior</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Senior</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Senior</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IF(L451&gt;=55,"Senior", IF(L451&gt;=31,"Middle Age", IF(L451&lt;31,"Adolescent", "Invaldid")))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Senior</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Senior</v>
      </c>
      <c r="N459" t="s">
        <v>18</v>
      </c>
    </row>
    <row r="460" spans="1:14" x14ac:dyDescent="0.25">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Senior</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Senior</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Senior</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Senior</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49</v>
      </c>
      <c r="K488" t="s">
        <v>17</v>
      </c>
      <c r="L488">
        <v>58</v>
      </c>
      <c r="M488" t="str">
        <f t="shared" si="7"/>
        <v>Senior</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49</v>
      </c>
      <c r="K495" t="s">
        <v>32</v>
      </c>
      <c r="L495">
        <v>60</v>
      </c>
      <c r="M495" t="str">
        <f t="shared" si="7"/>
        <v>Senior</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49</v>
      </c>
      <c r="K497" t="s">
        <v>32</v>
      </c>
      <c r="L497">
        <v>56</v>
      </c>
      <c r="M497" t="str">
        <f t="shared" si="7"/>
        <v>Senior</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Senior</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49</v>
      </c>
      <c r="K515" t="s">
        <v>32</v>
      </c>
      <c r="L515">
        <v>61</v>
      </c>
      <c r="M515" t="str">
        <f t="shared" ref="M515:M578" si="8">IF(L515&gt;=55,"Senior", IF(L515&gt;=31,"Middle Age", IF(L515&lt;31,"Adolescent", "Invaldid")))</f>
        <v>Senior</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Senior</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49</v>
      </c>
      <c r="K523" t="s">
        <v>32</v>
      </c>
      <c r="L523">
        <v>62</v>
      </c>
      <c r="M523" t="str">
        <f t="shared" si="8"/>
        <v>Senior</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Senior</v>
      </c>
      <c r="N526" t="s">
        <v>18</v>
      </c>
    </row>
    <row r="527" spans="1:14" x14ac:dyDescent="0.25">
      <c r="A527">
        <v>16791</v>
      </c>
      <c r="B527" t="s">
        <v>37</v>
      </c>
      <c r="C527" t="s">
        <v>39</v>
      </c>
      <c r="D527" s="3">
        <v>60000</v>
      </c>
      <c r="E527">
        <v>5</v>
      </c>
      <c r="F527" t="s">
        <v>13</v>
      </c>
      <c r="G527" t="s">
        <v>28</v>
      </c>
      <c r="H527" t="s">
        <v>15</v>
      </c>
      <c r="I527">
        <v>3</v>
      </c>
      <c r="J527" t="s">
        <v>49</v>
      </c>
      <c r="K527" t="s">
        <v>32</v>
      </c>
      <c r="L527">
        <v>59</v>
      </c>
      <c r="M527" t="str">
        <f t="shared" si="8"/>
        <v>Senior</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49</v>
      </c>
      <c r="K531" t="s">
        <v>32</v>
      </c>
      <c r="L531">
        <v>57</v>
      </c>
      <c r="M531" t="str">
        <f t="shared" si="8"/>
        <v>Senior</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49</v>
      </c>
      <c r="K535" t="s">
        <v>32</v>
      </c>
      <c r="L535">
        <v>66</v>
      </c>
      <c r="M535" t="str">
        <f t="shared" si="8"/>
        <v>Senior</v>
      </c>
      <c r="N535" t="s">
        <v>18</v>
      </c>
    </row>
    <row r="536" spans="1:14" x14ac:dyDescent="0.25">
      <c r="A536">
        <v>24637</v>
      </c>
      <c r="B536" t="s">
        <v>36</v>
      </c>
      <c r="C536" t="s">
        <v>39</v>
      </c>
      <c r="D536" s="3">
        <v>40000</v>
      </c>
      <c r="E536">
        <v>4</v>
      </c>
      <c r="F536" t="s">
        <v>27</v>
      </c>
      <c r="G536" t="s">
        <v>21</v>
      </c>
      <c r="H536" t="s">
        <v>15</v>
      </c>
      <c r="I536">
        <v>2</v>
      </c>
      <c r="J536" t="s">
        <v>49</v>
      </c>
      <c r="K536" t="s">
        <v>32</v>
      </c>
      <c r="L536">
        <v>64</v>
      </c>
      <c r="M536" t="str">
        <f t="shared" si="8"/>
        <v>Senior</v>
      </c>
      <c r="N536" t="s">
        <v>18</v>
      </c>
    </row>
    <row r="537" spans="1:14" x14ac:dyDescent="0.25">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Senior</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49</v>
      </c>
      <c r="K553" t="s">
        <v>32</v>
      </c>
      <c r="L553">
        <v>63</v>
      </c>
      <c r="M553" t="str">
        <f t="shared" si="8"/>
        <v>Senior</v>
      </c>
      <c r="N553" t="s">
        <v>18</v>
      </c>
    </row>
    <row r="554" spans="1:14" x14ac:dyDescent="0.25">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Senior</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49</v>
      </c>
      <c r="K561" t="s">
        <v>32</v>
      </c>
      <c r="L561">
        <v>58</v>
      </c>
      <c r="M561" t="str">
        <f t="shared" si="8"/>
        <v>Senior</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Senior</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49</v>
      </c>
      <c r="K571" t="s">
        <v>32</v>
      </c>
      <c r="L571">
        <v>69</v>
      </c>
      <c r="M571" t="str">
        <f t="shared" si="8"/>
        <v>Senior</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Senior</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Senior</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49</v>
      </c>
      <c r="K577" t="s">
        <v>32</v>
      </c>
      <c r="L577">
        <v>56</v>
      </c>
      <c r="M577" t="str">
        <f t="shared" si="8"/>
        <v>Senior</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IF(L579&gt;=55,"Senior", IF(L579&gt;=31,"Middle Age", IF(L579&lt;31,"Adolescent", "Invaldid")))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Senior</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49</v>
      </c>
      <c r="K582" t="s">
        <v>32</v>
      </c>
      <c r="L582">
        <v>69</v>
      </c>
      <c r="M582" t="str">
        <f t="shared" si="9"/>
        <v>Senior</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49</v>
      </c>
      <c r="K585" t="s">
        <v>32</v>
      </c>
      <c r="L585">
        <v>66</v>
      </c>
      <c r="M585" t="str">
        <f t="shared" si="9"/>
        <v>Senior</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49</v>
      </c>
      <c r="K591" t="s">
        <v>32</v>
      </c>
      <c r="L591">
        <v>57</v>
      </c>
      <c r="M591" t="str">
        <f t="shared" si="9"/>
        <v>Senior</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49</v>
      </c>
      <c r="K593" t="s">
        <v>32</v>
      </c>
      <c r="L593">
        <v>61</v>
      </c>
      <c r="M593" t="str">
        <f t="shared" si="9"/>
        <v>Senior</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Senior</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Senior</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Senior</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Senior</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Senior</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Senior</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Senior</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Senior</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Senior</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Senior</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Senior</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Senior</v>
      </c>
      <c r="N642" t="s">
        <v>15</v>
      </c>
    </row>
    <row r="643" spans="1:14" x14ac:dyDescent="0.25">
      <c r="A643">
        <v>21441</v>
      </c>
      <c r="B643" t="s">
        <v>36</v>
      </c>
      <c r="C643" t="s">
        <v>39</v>
      </c>
      <c r="D643" s="3">
        <v>50000</v>
      </c>
      <c r="E643">
        <v>4</v>
      </c>
      <c r="F643" t="s">
        <v>13</v>
      </c>
      <c r="G643" t="s">
        <v>28</v>
      </c>
      <c r="H643" t="s">
        <v>15</v>
      </c>
      <c r="I643">
        <v>2</v>
      </c>
      <c r="J643" t="s">
        <v>49</v>
      </c>
      <c r="K643" t="s">
        <v>32</v>
      </c>
      <c r="L643">
        <v>64</v>
      </c>
      <c r="M643" t="str">
        <f t="shared" ref="M643:M706" si="10">IF(L643&gt;=55,"Senior", IF(L643&gt;=31,"Middle Age", IF(L643&lt;31,"Adolescent", "Invaldid")))</f>
        <v>Senior</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Senior</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49</v>
      </c>
      <c r="K652" t="s">
        <v>32</v>
      </c>
      <c r="L652">
        <v>67</v>
      </c>
      <c r="M652" t="str">
        <f t="shared" si="10"/>
        <v>Senior</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49</v>
      </c>
      <c r="K661" t="s">
        <v>32</v>
      </c>
      <c r="L661">
        <v>63</v>
      </c>
      <c r="M661" t="str">
        <f t="shared" si="10"/>
        <v>Senior</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49</v>
      </c>
      <c r="K669" t="s">
        <v>32</v>
      </c>
      <c r="L669">
        <v>61</v>
      </c>
      <c r="M669" t="str">
        <f t="shared" si="10"/>
        <v>Senior</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49</v>
      </c>
      <c r="K672" t="s">
        <v>32</v>
      </c>
      <c r="L672">
        <v>59</v>
      </c>
      <c r="M672" t="str">
        <f t="shared" si="10"/>
        <v>Senior</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Senior</v>
      </c>
      <c r="N680" t="s">
        <v>18</v>
      </c>
    </row>
    <row r="681" spans="1:14" x14ac:dyDescent="0.25">
      <c r="A681">
        <v>21770</v>
      </c>
      <c r="B681" t="s">
        <v>36</v>
      </c>
      <c r="C681" t="s">
        <v>39</v>
      </c>
      <c r="D681" s="3">
        <v>60000</v>
      </c>
      <c r="E681">
        <v>4</v>
      </c>
      <c r="F681" t="s">
        <v>13</v>
      </c>
      <c r="G681" t="s">
        <v>28</v>
      </c>
      <c r="H681" t="s">
        <v>15</v>
      </c>
      <c r="I681">
        <v>2</v>
      </c>
      <c r="J681" t="s">
        <v>49</v>
      </c>
      <c r="K681" t="s">
        <v>32</v>
      </c>
      <c r="L681">
        <v>60</v>
      </c>
      <c r="M681" t="str">
        <f t="shared" si="10"/>
        <v>Senior</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Senior</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49</v>
      </c>
      <c r="K707" t="s">
        <v>32</v>
      </c>
      <c r="L707">
        <v>59</v>
      </c>
      <c r="M707" t="str">
        <f t="shared" ref="M707:M770" si="11">IF(L707&gt;=55,"Senior", IF(L707&gt;=31,"Middle Age", IF(L707&lt;31,"Adolescent", "Invaldid")))</f>
        <v>Senior</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49</v>
      </c>
      <c r="K710" t="s">
        <v>32</v>
      </c>
      <c r="L710">
        <v>60</v>
      </c>
      <c r="M710" t="str">
        <f t="shared" si="11"/>
        <v>Senior</v>
      </c>
      <c r="N710" t="s">
        <v>18</v>
      </c>
    </row>
    <row r="711" spans="1:14" x14ac:dyDescent="0.25">
      <c r="A711">
        <v>23712</v>
      </c>
      <c r="B711" t="s">
        <v>37</v>
      </c>
      <c r="C711" t="s">
        <v>38</v>
      </c>
      <c r="D711" s="3">
        <v>70000</v>
      </c>
      <c r="E711">
        <v>2</v>
      </c>
      <c r="F711" t="s">
        <v>13</v>
      </c>
      <c r="G711" t="s">
        <v>28</v>
      </c>
      <c r="H711" t="s">
        <v>15</v>
      </c>
      <c r="I711">
        <v>1</v>
      </c>
      <c r="J711" t="s">
        <v>49</v>
      </c>
      <c r="K711" t="s">
        <v>32</v>
      </c>
      <c r="L711">
        <v>59</v>
      </c>
      <c r="M711" t="str">
        <f t="shared" si="11"/>
        <v>Senior</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49</v>
      </c>
      <c r="K713" t="s">
        <v>32</v>
      </c>
      <c r="L713">
        <v>58</v>
      </c>
      <c r="M713" t="str">
        <f t="shared" si="11"/>
        <v>Senior</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Senior</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Senior</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49</v>
      </c>
      <c r="K741" t="s">
        <v>32</v>
      </c>
      <c r="L741">
        <v>55</v>
      </c>
      <c r="M741" t="str">
        <f t="shared" si="11"/>
        <v>Senior</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49</v>
      </c>
      <c r="K746" t="s">
        <v>32</v>
      </c>
      <c r="L746">
        <v>56</v>
      </c>
      <c r="M746" t="str">
        <f t="shared" si="11"/>
        <v>Senior</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49</v>
      </c>
      <c r="K748" t="s">
        <v>32</v>
      </c>
      <c r="L748">
        <v>56</v>
      </c>
      <c r="M748" t="str">
        <f t="shared" si="11"/>
        <v>Senior</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Senior</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Senior</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Senior</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49</v>
      </c>
      <c r="K763" t="s">
        <v>32</v>
      </c>
      <c r="L763">
        <v>59</v>
      </c>
      <c r="M763" t="str">
        <f t="shared" si="11"/>
        <v>Senior</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Senior</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IF(L771&gt;=55,"Senior", IF(L771&gt;=31,"Middle Age", IF(L771&lt;31,"Adolescent", "Invaldid")))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Senior</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Senior</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49</v>
      </c>
      <c r="K782" t="s">
        <v>32</v>
      </c>
      <c r="L782">
        <v>55</v>
      </c>
      <c r="M782" t="str">
        <f t="shared" si="12"/>
        <v>Senior</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Senior</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Senior</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Senior</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Senior</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Senior</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49</v>
      </c>
      <c r="K814" t="s">
        <v>32</v>
      </c>
      <c r="L814">
        <v>61</v>
      </c>
      <c r="M814" t="str">
        <f t="shared" si="12"/>
        <v>Senior</v>
      </c>
      <c r="N814" t="s">
        <v>18</v>
      </c>
    </row>
    <row r="815" spans="1:14" x14ac:dyDescent="0.25">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Senior</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Senior</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IF(L835&gt;=55,"Senior", IF(L835&gt;=31,"Middle Age", IF(L835&lt;31,"Adolescent", "Invaldid")))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Senior</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49</v>
      </c>
      <c r="K846" t="s">
        <v>32</v>
      </c>
      <c r="L846">
        <v>60</v>
      </c>
      <c r="M846" t="str">
        <f t="shared" si="13"/>
        <v>Senior</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Senior</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Senior</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Senior</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49</v>
      </c>
      <c r="K868" t="s">
        <v>32</v>
      </c>
      <c r="L868">
        <v>55</v>
      </c>
      <c r="M868" t="str">
        <f t="shared" si="13"/>
        <v>Senior</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49</v>
      </c>
      <c r="K870" t="s">
        <v>32</v>
      </c>
      <c r="L870">
        <v>60</v>
      </c>
      <c r="M870" t="str">
        <f t="shared" si="13"/>
        <v>Senior</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49</v>
      </c>
      <c r="K873" t="s">
        <v>32</v>
      </c>
      <c r="L873">
        <v>55</v>
      </c>
      <c r="M873" t="str">
        <f t="shared" si="13"/>
        <v>Senior</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Senior</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Senior</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Senior</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Senior</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Senior</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Senior</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IF(L899&gt;=55,"Senior", IF(L899&gt;=31,"Middle Age", IF(L899&lt;31,"Adolescent", "Invaldid")))</f>
        <v>Adolescent</v>
      </c>
      <c r="N899" t="s">
        <v>18</v>
      </c>
    </row>
    <row r="900" spans="1:14" x14ac:dyDescent="0.25">
      <c r="A900">
        <v>18066</v>
      </c>
      <c r="B900" t="s">
        <v>37</v>
      </c>
      <c r="C900" t="s">
        <v>39</v>
      </c>
      <c r="D900" s="3">
        <v>70000</v>
      </c>
      <c r="E900">
        <v>5</v>
      </c>
      <c r="F900" t="s">
        <v>13</v>
      </c>
      <c r="G900" t="s">
        <v>28</v>
      </c>
      <c r="H900" t="s">
        <v>15</v>
      </c>
      <c r="I900">
        <v>3</v>
      </c>
      <c r="J900" t="s">
        <v>49</v>
      </c>
      <c r="K900" t="s">
        <v>32</v>
      </c>
      <c r="L900">
        <v>60</v>
      </c>
      <c r="M900" t="str">
        <f t="shared" si="14"/>
        <v>Senior</v>
      </c>
      <c r="N900" t="s">
        <v>15</v>
      </c>
    </row>
    <row r="901" spans="1:14" x14ac:dyDescent="0.25">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Senior</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49</v>
      </c>
      <c r="K909" t="s">
        <v>32</v>
      </c>
      <c r="L909">
        <v>63</v>
      </c>
      <c r="M909" t="str">
        <f t="shared" si="14"/>
        <v>Senior</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Senior</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49</v>
      </c>
      <c r="K917" t="s">
        <v>32</v>
      </c>
      <c r="L917">
        <v>64</v>
      </c>
      <c r="M917" t="str">
        <f t="shared" si="14"/>
        <v>Senior</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49</v>
      </c>
      <c r="K921" t="s">
        <v>32</v>
      </c>
      <c r="L921">
        <v>61</v>
      </c>
      <c r="M921" t="str">
        <f t="shared" si="14"/>
        <v>Senior</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49</v>
      </c>
      <c r="K928" t="s">
        <v>32</v>
      </c>
      <c r="L928">
        <v>57</v>
      </c>
      <c r="M928" t="str">
        <f t="shared" si="14"/>
        <v>Senior</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Senior</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Senior</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Senior</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Senior</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IF(L963&gt;=55,"Senior", IF(L963&gt;=31,"Middle Age", IF(L963&lt;31,"Adolescent", "Invaldid")))</f>
        <v>Senior</v>
      </c>
      <c r="N963" t="s">
        <v>18</v>
      </c>
    </row>
    <row r="964" spans="1:14" x14ac:dyDescent="0.25">
      <c r="A964">
        <v>16813</v>
      </c>
      <c r="B964" t="s">
        <v>36</v>
      </c>
      <c r="C964" t="s">
        <v>39</v>
      </c>
      <c r="D964" s="3">
        <v>60000</v>
      </c>
      <c r="E964">
        <v>2</v>
      </c>
      <c r="F964" t="s">
        <v>19</v>
      </c>
      <c r="G964" t="s">
        <v>21</v>
      </c>
      <c r="H964" t="s">
        <v>15</v>
      </c>
      <c r="I964">
        <v>2</v>
      </c>
      <c r="J964" t="s">
        <v>49</v>
      </c>
      <c r="K964" t="s">
        <v>32</v>
      </c>
      <c r="L964">
        <v>55</v>
      </c>
      <c r="M964" t="str">
        <f t="shared" si="15"/>
        <v>Senior</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Senior</v>
      </c>
      <c r="N965" t="s">
        <v>15</v>
      </c>
    </row>
    <row r="966" spans="1:14" x14ac:dyDescent="0.25">
      <c r="A966">
        <v>27434</v>
      </c>
      <c r="B966" t="s">
        <v>37</v>
      </c>
      <c r="C966" t="s">
        <v>39</v>
      </c>
      <c r="D966" s="3">
        <v>70000</v>
      </c>
      <c r="E966">
        <v>4</v>
      </c>
      <c r="F966" t="s">
        <v>19</v>
      </c>
      <c r="G966" t="s">
        <v>21</v>
      </c>
      <c r="H966" t="s">
        <v>15</v>
      </c>
      <c r="I966">
        <v>1</v>
      </c>
      <c r="J966" t="s">
        <v>49</v>
      </c>
      <c r="K966" t="s">
        <v>32</v>
      </c>
      <c r="L966">
        <v>56</v>
      </c>
      <c r="M966" t="str">
        <f t="shared" si="15"/>
        <v>Senior</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Senior</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49</v>
      </c>
      <c r="K978" t="s">
        <v>32</v>
      </c>
      <c r="L978">
        <v>66</v>
      </c>
      <c r="M978" t="str">
        <f t="shared" si="15"/>
        <v>Senior</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Senior</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49</v>
      </c>
      <c r="K988" t="s">
        <v>32</v>
      </c>
      <c r="L988">
        <v>60</v>
      </c>
      <c r="M988" t="str">
        <f t="shared" si="15"/>
        <v>Senior</v>
      </c>
      <c r="N988" t="s">
        <v>15</v>
      </c>
    </row>
    <row r="989" spans="1:14" x14ac:dyDescent="0.25">
      <c r="A989">
        <v>28972</v>
      </c>
      <c r="B989" t="s">
        <v>37</v>
      </c>
      <c r="C989" t="s">
        <v>38</v>
      </c>
      <c r="D989" s="3">
        <v>60000</v>
      </c>
      <c r="E989">
        <v>3</v>
      </c>
      <c r="F989" t="s">
        <v>31</v>
      </c>
      <c r="G989" t="s">
        <v>28</v>
      </c>
      <c r="H989" t="s">
        <v>15</v>
      </c>
      <c r="I989">
        <v>2</v>
      </c>
      <c r="J989" t="s">
        <v>49</v>
      </c>
      <c r="K989" t="s">
        <v>32</v>
      </c>
      <c r="L989">
        <v>66</v>
      </c>
      <c r="M989" t="str">
        <f t="shared" si="15"/>
        <v>Senior</v>
      </c>
      <c r="N989" t="s">
        <v>18</v>
      </c>
    </row>
    <row r="990" spans="1:14" x14ac:dyDescent="0.25">
      <c r="A990">
        <v>22730</v>
      </c>
      <c r="B990" t="s">
        <v>36</v>
      </c>
      <c r="C990" t="s">
        <v>39</v>
      </c>
      <c r="D990" s="3">
        <v>70000</v>
      </c>
      <c r="E990">
        <v>5</v>
      </c>
      <c r="F990" t="s">
        <v>13</v>
      </c>
      <c r="G990" t="s">
        <v>28</v>
      </c>
      <c r="H990" t="s">
        <v>15</v>
      </c>
      <c r="I990">
        <v>2</v>
      </c>
      <c r="J990" t="s">
        <v>49</v>
      </c>
      <c r="K990" t="s">
        <v>32</v>
      </c>
      <c r="L990">
        <v>63</v>
      </c>
      <c r="M990" t="str">
        <f t="shared" si="15"/>
        <v>Senior</v>
      </c>
      <c r="N990" t="s">
        <v>18</v>
      </c>
    </row>
    <row r="991" spans="1:14" x14ac:dyDescent="0.25">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5ECFDB4C-42C1-4072-80B5-C5E0C2AD96F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72811-C14C-481B-BA28-3F55048C9E1B}">
  <dimension ref="A1:D40"/>
  <sheetViews>
    <sheetView workbookViewId="0">
      <selection activeCell="A6" sqref="A6"/>
    </sheetView>
  </sheetViews>
  <sheetFormatPr defaultRowHeight="15" x14ac:dyDescent="0.25"/>
  <cols>
    <col min="1" max="1" width="17.85546875" bestFit="1" customWidth="1"/>
    <col min="2" max="2" width="16.28515625" bestFit="1" customWidth="1"/>
    <col min="3" max="3" width="7.5703125" bestFit="1" customWidth="1"/>
    <col min="4" max="4" width="11.28515625" bestFit="1" customWidth="1"/>
    <col min="13" max="13" width="9.140625" customWidth="1"/>
    <col min="14" max="14" width="22.85546875" bestFit="1" customWidth="1"/>
    <col min="15" max="15" width="4" bestFit="1" customWidth="1"/>
    <col min="16" max="16" width="4.140625" customWidth="1"/>
    <col min="17" max="17" width="11.28515625" bestFit="1" customWidth="1"/>
  </cols>
  <sheetData>
    <row r="1" spans="1:4" x14ac:dyDescent="0.25">
      <c r="A1" s="4" t="s">
        <v>43</v>
      </c>
      <c r="B1" s="4" t="s">
        <v>44</v>
      </c>
    </row>
    <row r="2" spans="1:4" x14ac:dyDescent="0.25">
      <c r="A2" s="4" t="s">
        <v>41</v>
      </c>
      <c r="B2" t="s">
        <v>18</v>
      </c>
      <c r="C2" t="s">
        <v>15</v>
      </c>
      <c r="D2" t="s">
        <v>42</v>
      </c>
    </row>
    <row r="3" spans="1:4" x14ac:dyDescent="0.25">
      <c r="A3" s="5" t="s">
        <v>38</v>
      </c>
      <c r="B3" s="3">
        <v>53440</v>
      </c>
      <c r="C3" s="3">
        <v>55774.058577405856</v>
      </c>
      <c r="D3" s="3">
        <v>54580.777096114522</v>
      </c>
    </row>
    <row r="4" spans="1:4" x14ac:dyDescent="0.25">
      <c r="A4" s="5" t="s">
        <v>39</v>
      </c>
      <c r="B4" s="3">
        <v>56208.178438661707</v>
      </c>
      <c r="C4" s="3">
        <v>60123.966942148763</v>
      </c>
      <c r="D4" s="3">
        <v>58062.62230919765</v>
      </c>
    </row>
    <row r="5" spans="1:4" x14ac:dyDescent="0.25">
      <c r="A5" s="5" t="s">
        <v>42</v>
      </c>
      <c r="B5" s="3">
        <v>54874.759152215796</v>
      </c>
      <c r="C5" s="3">
        <v>57962.577962577961</v>
      </c>
      <c r="D5" s="3">
        <v>56360</v>
      </c>
    </row>
    <row r="18" spans="1:4" x14ac:dyDescent="0.25">
      <c r="A18" s="4" t="s">
        <v>45</v>
      </c>
      <c r="B18" s="4" t="s">
        <v>44</v>
      </c>
    </row>
    <row r="19" spans="1:4" x14ac:dyDescent="0.25">
      <c r="A19" s="4" t="s">
        <v>41</v>
      </c>
      <c r="B19" t="s">
        <v>18</v>
      </c>
      <c r="C19" t="s">
        <v>15</v>
      </c>
      <c r="D19" t="s">
        <v>42</v>
      </c>
    </row>
    <row r="20" spans="1:4" x14ac:dyDescent="0.25">
      <c r="A20" s="5" t="s">
        <v>16</v>
      </c>
      <c r="B20" s="9">
        <v>166</v>
      </c>
      <c r="C20" s="9">
        <v>200</v>
      </c>
      <c r="D20" s="9">
        <v>366</v>
      </c>
    </row>
    <row r="21" spans="1:4" x14ac:dyDescent="0.25">
      <c r="A21" s="5" t="s">
        <v>26</v>
      </c>
      <c r="B21" s="9">
        <v>92</v>
      </c>
      <c r="C21" s="9">
        <v>77</v>
      </c>
      <c r="D21" s="9">
        <v>169</v>
      </c>
    </row>
    <row r="22" spans="1:4" x14ac:dyDescent="0.25">
      <c r="A22" s="5" t="s">
        <v>22</v>
      </c>
      <c r="B22" s="9">
        <v>67</v>
      </c>
      <c r="C22" s="9">
        <v>95</v>
      </c>
      <c r="D22" s="9">
        <v>162</v>
      </c>
    </row>
    <row r="23" spans="1:4" x14ac:dyDescent="0.25">
      <c r="A23" s="5" t="s">
        <v>23</v>
      </c>
      <c r="B23" s="9">
        <v>116</v>
      </c>
      <c r="C23" s="9">
        <v>76</v>
      </c>
      <c r="D23" s="9">
        <v>192</v>
      </c>
    </row>
    <row r="24" spans="1:4" x14ac:dyDescent="0.25">
      <c r="A24" s="5" t="s">
        <v>49</v>
      </c>
      <c r="B24" s="9">
        <v>78</v>
      </c>
      <c r="C24" s="9">
        <v>33</v>
      </c>
      <c r="D24" s="9">
        <v>111</v>
      </c>
    </row>
    <row r="25" spans="1:4" x14ac:dyDescent="0.25">
      <c r="A25" s="5" t="s">
        <v>42</v>
      </c>
      <c r="B25" s="9">
        <v>519</v>
      </c>
      <c r="C25" s="9">
        <v>481</v>
      </c>
      <c r="D25" s="9">
        <v>1000</v>
      </c>
    </row>
    <row r="35" spans="1:4" x14ac:dyDescent="0.25">
      <c r="A35" s="4" t="s">
        <v>45</v>
      </c>
    </row>
    <row r="36" spans="1:4" x14ac:dyDescent="0.25">
      <c r="B36" t="s">
        <v>18</v>
      </c>
      <c r="C36" t="s">
        <v>15</v>
      </c>
      <c r="D36" t="s">
        <v>42</v>
      </c>
    </row>
    <row r="37" spans="1:4" x14ac:dyDescent="0.25">
      <c r="A37" s="5" t="s">
        <v>48</v>
      </c>
      <c r="B37" s="9">
        <v>71</v>
      </c>
      <c r="C37" s="9">
        <v>39</v>
      </c>
      <c r="D37" s="9">
        <v>110</v>
      </c>
    </row>
    <row r="38" spans="1:4" x14ac:dyDescent="0.25">
      <c r="A38" s="5" t="s">
        <v>46</v>
      </c>
      <c r="B38" s="9">
        <v>318</v>
      </c>
      <c r="C38" s="9">
        <v>383</v>
      </c>
      <c r="D38" s="9">
        <v>701</v>
      </c>
    </row>
    <row r="39" spans="1:4" x14ac:dyDescent="0.25">
      <c r="A39" s="5" t="s">
        <v>47</v>
      </c>
      <c r="B39" s="9">
        <v>130</v>
      </c>
      <c r="C39" s="9">
        <v>59</v>
      </c>
      <c r="D39" s="9">
        <v>189</v>
      </c>
    </row>
    <row r="40" spans="1:4" x14ac:dyDescent="0.25">
      <c r="A40" s="5" t="s">
        <v>42</v>
      </c>
      <c r="B40" s="9">
        <v>519</v>
      </c>
      <c r="C40" s="9">
        <v>481</v>
      </c>
      <c r="D40"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7C1D-067C-420F-9D99-AD575B1AD130}">
  <dimension ref="A1:O11"/>
  <sheetViews>
    <sheetView showGridLines="0" tabSelected="1" zoomScaleNormal="100" workbookViewId="0">
      <selection activeCell="T25" sqref="T25"/>
    </sheetView>
  </sheetViews>
  <sheetFormatPr defaultRowHeight="15" x14ac:dyDescent="0.25"/>
  <sheetData>
    <row r="1" spans="1:15" ht="15" customHeight="1" x14ac:dyDescent="0.25">
      <c r="A1" s="7" t="s">
        <v>50</v>
      </c>
      <c r="B1" s="8"/>
      <c r="C1" s="8"/>
      <c r="D1" s="8"/>
      <c r="E1" s="8"/>
      <c r="F1" s="8"/>
      <c r="G1" s="8"/>
      <c r="H1" s="8"/>
      <c r="I1" s="8"/>
      <c r="J1" s="8"/>
      <c r="K1" s="8"/>
      <c r="L1" s="8"/>
      <c r="M1" s="8"/>
      <c r="N1" s="8"/>
      <c r="O1" s="8"/>
    </row>
    <row r="2" spans="1:15" ht="15" customHeight="1" x14ac:dyDescent="0.25">
      <c r="A2" s="8"/>
      <c r="B2" s="8"/>
      <c r="C2" s="8"/>
      <c r="D2" s="8"/>
      <c r="E2" s="8"/>
      <c r="F2" s="8"/>
      <c r="G2" s="8"/>
      <c r="H2" s="8"/>
      <c r="I2" s="8"/>
      <c r="J2" s="8"/>
      <c r="K2" s="8"/>
      <c r="L2" s="8"/>
      <c r="M2" s="8"/>
      <c r="N2" s="8"/>
      <c r="O2" s="8"/>
    </row>
    <row r="3" spans="1:15" ht="15" customHeight="1" x14ac:dyDescent="0.25">
      <c r="A3" s="8"/>
      <c r="B3" s="8"/>
      <c r="C3" s="8"/>
      <c r="D3" s="8"/>
      <c r="E3" s="8"/>
      <c r="F3" s="8"/>
      <c r="G3" s="8"/>
      <c r="H3" s="8"/>
      <c r="I3" s="8"/>
      <c r="J3" s="8"/>
      <c r="K3" s="8"/>
      <c r="L3" s="8"/>
      <c r="M3" s="8"/>
      <c r="N3" s="8"/>
      <c r="O3" s="8"/>
    </row>
    <row r="4" spans="1:15" ht="15" customHeight="1" x14ac:dyDescent="0.25">
      <c r="A4" s="8"/>
      <c r="B4" s="8"/>
      <c r="C4" s="8"/>
      <c r="D4" s="8"/>
      <c r="E4" s="8"/>
      <c r="F4" s="8"/>
      <c r="G4" s="8"/>
      <c r="H4" s="8"/>
      <c r="I4" s="8"/>
      <c r="J4" s="8"/>
      <c r="K4" s="8"/>
      <c r="L4" s="8"/>
      <c r="M4" s="8"/>
      <c r="N4" s="8"/>
      <c r="O4" s="8"/>
    </row>
    <row r="5" spans="1:15" ht="15" customHeight="1" x14ac:dyDescent="0.25">
      <c r="A5" s="8"/>
      <c r="B5" s="8"/>
      <c r="C5" s="8"/>
      <c r="D5" s="8"/>
      <c r="E5" s="8"/>
      <c r="F5" s="8"/>
      <c r="G5" s="8"/>
      <c r="H5" s="8"/>
      <c r="I5" s="8"/>
      <c r="J5" s="8"/>
      <c r="K5" s="8"/>
      <c r="L5" s="8"/>
      <c r="M5" s="8"/>
      <c r="N5" s="8"/>
      <c r="O5" s="8"/>
    </row>
    <row r="6" spans="1:15" ht="15" customHeight="1" x14ac:dyDescent="0.25">
      <c r="A6" s="8"/>
      <c r="B6" s="8"/>
      <c r="C6" s="8"/>
      <c r="D6" s="8"/>
      <c r="E6" s="8"/>
      <c r="F6" s="8"/>
      <c r="G6" s="8"/>
      <c r="H6" s="8"/>
      <c r="I6" s="8"/>
      <c r="J6" s="8"/>
      <c r="K6" s="8"/>
      <c r="L6" s="8"/>
      <c r="M6" s="8"/>
      <c r="N6" s="8"/>
      <c r="O6" s="8"/>
    </row>
    <row r="7" spans="1:15" ht="15" customHeight="1" x14ac:dyDescent="0.25"/>
    <row r="10" spans="1:15" x14ac:dyDescent="0.25">
      <c r="O10" s="6"/>
    </row>
    <row r="11" spans="1:15" x14ac:dyDescent="0.25">
      <c r="K11"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c5bd0132-c3bc-4b2d-b08c-732a0671932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CF4D9E8DB994D4BB8729A8C37787962" ma:contentTypeVersion="11" ma:contentTypeDescription="Create a new document." ma:contentTypeScope="" ma:versionID="d0e3c0edf342f4bc6a4c4b906c5f0dfb">
  <xsd:schema xmlns:xsd="http://www.w3.org/2001/XMLSchema" xmlns:xs="http://www.w3.org/2001/XMLSchema" xmlns:p="http://schemas.microsoft.com/office/2006/metadata/properties" xmlns:ns3="c5bd0132-c3bc-4b2d-b08c-732a0671932b" xmlns:ns4="0d9b8155-d596-45c1-b847-84458641b87a" targetNamespace="http://schemas.microsoft.com/office/2006/metadata/properties" ma:root="true" ma:fieldsID="25c586bde15470b2b4c951c07ea329aa" ns3:_="" ns4:_="">
    <xsd:import namespace="c5bd0132-c3bc-4b2d-b08c-732a0671932b"/>
    <xsd:import namespace="0d9b8155-d596-45c1-b847-84458641b87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_activity" minOccurs="0"/>
                <xsd:element ref="ns4:SharedWithUsers" minOccurs="0"/>
                <xsd:element ref="ns4:SharedWithDetails" minOccurs="0"/>
                <xsd:element ref="ns4:SharingHintHash" minOccurs="0"/>
                <xsd:element ref="ns3:MediaServiceObjectDetectorVersions" minOccurs="0"/>
                <xsd:element ref="ns3:MediaServiceDateTake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bd0132-c3bc-4b2d-b08c-732a067193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2"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9b8155-d596-45c1-b847-84458641b87a"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A0A259-728F-4C9A-A591-34AADB2FCC5A}">
  <ds:schemaRefs>
    <ds:schemaRef ds:uri="http://schemas.microsoft.com/sharepoint/v3/contenttype/forms"/>
  </ds:schemaRefs>
</ds:datastoreItem>
</file>

<file path=customXml/itemProps2.xml><?xml version="1.0" encoding="utf-8"?>
<ds:datastoreItem xmlns:ds="http://schemas.openxmlformats.org/officeDocument/2006/customXml" ds:itemID="{D0AA4642-CF2E-4C78-A4EA-5B079CE694F8}">
  <ds:schemaRefs>
    <ds:schemaRef ds:uri="http://schemas.microsoft.com/office/2006/documentManagement/types"/>
    <ds:schemaRef ds:uri="http://purl.org/dc/terms/"/>
    <ds:schemaRef ds:uri="http://purl.org/dc/dcmitype/"/>
    <ds:schemaRef ds:uri="http://schemas.openxmlformats.org/package/2006/metadata/core-properties"/>
    <ds:schemaRef ds:uri="http://www.w3.org/XML/1998/namespace"/>
    <ds:schemaRef ds:uri="http://schemas.microsoft.com/office/infopath/2007/PartnerControls"/>
    <ds:schemaRef ds:uri="0d9b8155-d596-45c1-b847-84458641b87a"/>
    <ds:schemaRef ds:uri="c5bd0132-c3bc-4b2d-b08c-732a0671932b"/>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AB98D4D7-8AD7-4F6B-8E69-83BBCA5A2C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bd0132-c3bc-4b2d-b08c-732a0671932b"/>
    <ds:schemaRef ds:uri="0d9b8155-d596-45c1-b847-84458641b8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2c0b871-335f-4b5c-9ed0-a4a23565a79b}" enabled="0" method="" siteId="{82c0b871-335f-4b5c-9ed0-a4a23565a79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Patel, Moksh</cp:lastModifiedBy>
  <dcterms:created xsi:type="dcterms:W3CDTF">2022-03-18T02:50:57Z</dcterms:created>
  <dcterms:modified xsi:type="dcterms:W3CDTF">2026-01-16T00:23:17Z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0x0101000CF4D9E8DB994D4BB8729A8C37787962</vt:lpwstr>
  </property>
</Properties>
</file>